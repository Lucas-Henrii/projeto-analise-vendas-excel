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13_ncr:1_{B370DA76-7760-4111-8DF0-4FB1C5941F2E}" xr6:coauthVersionLast="47" xr6:coauthVersionMax="47" xr10:uidLastSave="{00000000-0000-0000-0000-000000000000}"/>
  <bookViews>
    <workbookView xWindow="2100" yWindow="-13620" windowWidth="24240" windowHeight="13140" xr2:uid="{00000000-000D-0000-FFFF-FFFF00000000}"/>
  </bookViews>
  <sheets>
    <sheet name="Planilha3" sheetId="4" r:id="rId1"/>
    <sheet name="Sheet1" sheetId="1" r:id="rId2"/>
  </sheets>
  <definedNames>
    <definedName name="SegmentaçãodeDados_Região">#N/A</definedName>
  </definedNames>
  <calcPr calcId="191029"/>
  <pivotCaches>
    <pivotCache cacheId="13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J11" i="1"/>
  <c r="J10" i="1"/>
  <c r="J9" i="1"/>
  <c r="J8" i="1"/>
  <c r="J7" i="1"/>
  <c r="J6" i="1"/>
  <c r="J5" i="1"/>
  <c r="J4" i="1"/>
  <c r="J3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<sst xmlns="http://schemas.openxmlformats.org/spreadsheetml/2006/main" count="67" uniqueCount="39">
  <si>
    <t>ID_Pedido</t>
  </si>
  <si>
    <t>Data_Pedido</t>
  </si>
  <si>
    <t>Cliente</t>
  </si>
  <si>
    <t>Produto</t>
  </si>
  <si>
    <t>Categoria</t>
  </si>
  <si>
    <t>Região</t>
  </si>
  <si>
    <t>Ana Silva</t>
  </si>
  <si>
    <t>Notebook Dell</t>
  </si>
  <si>
    <t>Eletrônicos</t>
  </si>
  <si>
    <t>Sudeste</t>
  </si>
  <si>
    <t xml:space="preserve"> Carlos Souza </t>
  </si>
  <si>
    <t>Mouse Sem Fio</t>
  </si>
  <si>
    <t>Acessórios</t>
  </si>
  <si>
    <t>Sul</t>
  </si>
  <si>
    <t>Mariana Costa</t>
  </si>
  <si>
    <t>Monitor LG 29</t>
  </si>
  <si>
    <t>Ricardo Alves</t>
  </si>
  <si>
    <t>Teclado Mecânico</t>
  </si>
  <si>
    <t>Nordeste</t>
  </si>
  <si>
    <t>Beatriz Santos</t>
  </si>
  <si>
    <t>Carregador Baseus</t>
  </si>
  <si>
    <t>Centro-Oeste</t>
  </si>
  <si>
    <t>Fernando Lima</t>
  </si>
  <si>
    <t>Norte</t>
  </si>
  <si>
    <t>Amanda Oliveira</t>
  </si>
  <si>
    <t>Cadeira Gamer</t>
  </si>
  <si>
    <t>Móveis</t>
  </si>
  <si>
    <t>Roberto Nunes</t>
  </si>
  <si>
    <t>Juliana Ribeiro</t>
  </si>
  <si>
    <t>eletrônicos</t>
  </si>
  <si>
    <t>Lucas Martins</t>
  </si>
  <si>
    <t>Faturamento_Total</t>
  </si>
  <si>
    <t>Ajustar texto</t>
  </si>
  <si>
    <t>Soma de Faturamento_Total</t>
  </si>
  <si>
    <t>Quantidade_Pedidos</t>
  </si>
  <si>
    <t>Valor_Produto</t>
  </si>
  <si>
    <t>Rótulos de Linha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</si>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</sst>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[Projeto_1.xlsx]Planilha3!Tabela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Planilha3!$A$4:$A$8</c:f>
              <c:strCache>
                <c:ptCount val="4"/>
                <c:pt idx="0">
                  <c:v>Acessórios</c:v>
                </c:pt>
                <c:pt idx="1">
                  <c:v>Eletrônicos</c:v>
                </c:pt>
                <c:pt idx="2">
                  <c:v>Móveis</c:v>
                </c:pt>
                <c:pt idx="3">
                  <c:v>(vazio)</c:v>
                </c:pt>
              </c:strCache>
            </c:strRef>
          </c:cat>
          <c:val>
            <c:numRef>
              <c:f>Planilha3!$B$4:$B$8</c:f>
              <c:numCache>
                <c:formatCode>General</c:formatCode>
                <c:ptCount val="4"/>
                <c:pt idx="0">
                  <c:v>2370</c:v>
                </c:pt>
                <c:pt idx="1">
                  <c:v>11400</c:v>
                </c:pt>
                <c:pt idx="2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6-461A-990E-2C86D61AA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16528"/>
        <c:axId val="1305598400"/>
      </c:barChart>
      <c:catAx>
        <c:axId val="106571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598400"/>
        <c:crosses val="autoZero"/>
        <c:auto val="1"/>
        <c:lblAlgn val="ctr"/>
        <c:lblOffset val="100"/>
        <c:noMultiLvlLbl val="0"/>
      </c:catAx>
      <c:valAx>
        <c:axId val="130559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571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none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38100</xdr:rowOff>
    </xdr:from>
    <xdr:to>
      <xdr:col>6</xdr:col>
      <xdr:colOff>95249</xdr:colOff>
      <xdr:row>28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326923-1CB3-484E-23C6-1E3C2A360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161925</xdr:colOff>
      <xdr:row>8</xdr:row>
      <xdr:rowOff>38101</xdr:rowOff>
    </xdr:from>
    <xdr:to>
      <xdr:col>9</xdr:col>
      <xdr:colOff>161925</xdr:colOff>
      <xdr:row>28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ão">
              <a:extLst>
                <a:ext uri="{FF2B5EF4-FFF2-40B4-BE49-F238E27FC236}">
                  <a16:creationId xmlns:a16="http://schemas.microsoft.com/office/drawing/2014/main" id="{C910DB4C-37F7-DA48-D9F6-4F7D89B707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2600" y="1562101"/>
              <a:ext cx="1828800" cy="377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" refreshedDate="46211.776424421296" createdVersion="8" refreshedVersion="8" minRefreshableVersion="3" recordCount="12" xr:uid="{E8FBB395-2F51-426A-97E5-46F87D411161}">
  <cacheSource type="worksheet">
    <worksheetSource ref="A1:I1048576" sheet="Sheet1"/>
  </cacheSource>
  <cacheFields count="9">
    <cacheField name="ID_Pedido" numFmtId="0">
      <sharedItems containsString="0" containsBlank="1" containsNumber="1" containsInteger="1" minValue="1001" maxValue="1010"/>
    </cacheField>
    <cacheField name="Data_Pedido" numFmtId="0">
      <sharedItems containsNonDate="0" containsDate="1" containsString="0" containsBlank="1" minDate="2026-01-15T00:00:00" maxDate="2026-01-25T00:00:00"/>
    </cacheField>
    <cacheField name="Cliente" numFmtId="0">
      <sharedItems containsBlank="1"/>
    </cacheField>
    <cacheField name="Produto" numFmtId="0">
      <sharedItems containsBlank="1"/>
    </cacheField>
    <cacheField name="Categoria" numFmtId="0">
      <sharedItems containsBlank="1" count="4">
        <s v="Eletrônicos"/>
        <s v="Acessórios"/>
        <s v="Móveis"/>
        <m/>
      </sharedItems>
    </cacheField>
    <cacheField name="Quantidade_Pedidos" numFmtId="0">
      <sharedItems containsString="0" containsBlank="1" containsNumber="1" containsInteger="1" minValue="1" maxValue="5"/>
    </cacheField>
    <cacheField name="Valor_Produto" numFmtId="0">
      <sharedItems containsString="0" containsBlank="1" containsNumber="1" containsInteger="1" minValue="90" maxValue="4500"/>
    </cacheField>
    <cacheField name="Região" numFmtId="0">
      <sharedItems containsBlank="1" count="6">
        <s v="Sudeste"/>
        <s v="Sul"/>
        <s v="Nordeste"/>
        <s v="Centro-Oeste"/>
        <s v="Norte"/>
        <m/>
      </sharedItems>
    </cacheField>
    <cacheField name="Faturamento_Total" numFmtId="0">
      <sharedItems containsString="0" containsBlank="1" containsNumber="1" containsInteger="1" minValue="270" maxValue="4500"/>
    </cacheField>
  </cacheFields>
  <extLst>
    <ext xmlns:x14="http://schemas.microsoft.com/office/spreadsheetml/2009/9/main" uri="{725AE2AE-9491-48be-B2B4-4EB974FC3084}">
      <x14:pivotCacheDefinition pivotCacheId="13897113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001"/>
    <d v="2026-01-15T00:00:00"/>
    <s v="Ana Silva"/>
    <s v="Notebook Dell"/>
    <x v="0"/>
    <n v="1"/>
    <n v="4500"/>
    <x v="0"/>
    <n v="4500"/>
  </r>
  <r>
    <n v="1002"/>
    <d v="2026-01-16T00:00:00"/>
    <s v=" Carlos Souza "/>
    <s v="Mouse Sem Fio"/>
    <x v="1"/>
    <n v="2"/>
    <n v="150"/>
    <x v="1"/>
    <n v="300"/>
  </r>
  <r>
    <n v="1003"/>
    <d v="2026-01-17T00:00:00"/>
    <s v="Mariana Costa"/>
    <s v="Monitor LG 29"/>
    <x v="0"/>
    <n v="1"/>
    <n v="1200"/>
    <x v="0"/>
    <n v="1200"/>
  </r>
  <r>
    <n v="1004"/>
    <d v="2026-01-18T00:00:00"/>
    <s v="Ricardo Alves"/>
    <s v="Teclado Mecânico"/>
    <x v="1"/>
    <n v="1"/>
    <n v="350"/>
    <x v="2"/>
    <n v="350"/>
  </r>
  <r>
    <n v="1005"/>
    <d v="2026-01-19T00:00:00"/>
    <s v="Beatriz Santos"/>
    <s v="Carregador Baseus"/>
    <x v="1"/>
    <n v="3"/>
    <n v="90"/>
    <x v="3"/>
    <n v="270"/>
  </r>
  <r>
    <n v="1006"/>
    <d v="2026-01-20T00:00:00"/>
    <s v="Fernando Lima"/>
    <s v="Notebook Dell"/>
    <x v="0"/>
    <n v="1"/>
    <n v="4500"/>
    <x v="4"/>
    <n v="4500"/>
  </r>
  <r>
    <n v="1007"/>
    <d v="2026-01-21T00:00:00"/>
    <s v="Amanda Oliveira"/>
    <s v="Cadeira Gamer"/>
    <x v="2"/>
    <n v="1"/>
    <n v="1100"/>
    <x v="0"/>
    <n v="1100"/>
  </r>
  <r>
    <n v="1008"/>
    <d v="2026-01-22T00:00:00"/>
    <s v="Roberto Nunes"/>
    <s v="Teclado Mecânico"/>
    <x v="1"/>
    <n v="2"/>
    <n v="350"/>
    <x v="1"/>
    <n v="700"/>
  </r>
  <r>
    <n v="1009"/>
    <d v="2026-01-23T00:00:00"/>
    <s v="Juliana Ribeiro"/>
    <s v="Monitor LG 29"/>
    <x v="0"/>
    <n v="1"/>
    <n v="1200"/>
    <x v="2"/>
    <n v="1200"/>
  </r>
  <r>
    <n v="1010"/>
    <d v="2026-01-24T00:00:00"/>
    <s v="Lucas Martins"/>
    <s v="Mouse Sem Fio"/>
    <x v="1"/>
    <n v="5"/>
    <n v="150"/>
    <x v="0"/>
    <n v="750"/>
  </r>
  <r>
    <m/>
    <m/>
    <m/>
    <m/>
    <x v="3"/>
    <m/>
    <m/>
    <x v="5"/>
    <m/>
  </r>
  <r>
    <m/>
    <m/>
    <m/>
    <m/>
    <x v="3"/>
    <m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022E4-F941-4717-BE86-B479A3481ABF}" name="Tabela dinâ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9"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>
      <items count="7">
        <item x="3"/>
        <item x="2"/>
        <item x="4"/>
        <item x="0"/>
        <item x="1"/>
        <item x="5"/>
        <item t="default"/>
      </items>
    </pivotField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Faturamento_Total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986F91F9-59E8-4A37-AA5F-AFE4761AF403}" sourceName="Região">
  <pivotTables>
    <pivotTable tabId="4" name="Tabela dinâmica3"/>
  </pivotTables>
  <data>
    <tabular pivotCacheId="1389711376">
      <items count="6">
        <i x="3" s="1"/>
        <i x="2" s="1"/>
        <i x="4" s="1"/>
        <i x="0" s="1"/>
        <i x="1" s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" xr10:uid="{8DF35147-B0D2-4136-BC85-12619232E65E}" cache="SegmentaçãodeDados_Região" caption="Região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39E9-EAEC-4B71-8787-72D2B2BEA157}">
  <dimension ref="A3:B8"/>
  <sheetViews>
    <sheetView tabSelected="1" workbookViewId="0">
      <selection activeCell="C4" sqref="C4"/>
    </sheetView>
  </sheetViews>
  <sheetFormatPr defaultRowHeight="15" x14ac:dyDescent="0.25"/>
  <cols>
    <col min="1" max="1" width="18" bestFit="1" customWidth="1"/>
    <col min="2" max="2" width="26.42578125" bestFit="1" customWidth="1"/>
  </cols>
  <sheetData>
    <row r="3" spans="1:2" x14ac:dyDescent="0.25">
      <c r="A3" s="3" t="s">
        <v>36</v>
      </c>
      <c r="B3" t="s">
        <v>33</v>
      </c>
    </row>
    <row r="4" spans="1:2" x14ac:dyDescent="0.25">
      <c r="A4" s="4" t="s">
        <v>12</v>
      </c>
      <c r="B4" s="2">
        <v>2370</v>
      </c>
    </row>
    <row r="5" spans="1:2" x14ac:dyDescent="0.25">
      <c r="A5" s="4" t="s">
        <v>8</v>
      </c>
      <c r="B5" s="2">
        <v>11400</v>
      </c>
    </row>
    <row r="6" spans="1:2" x14ac:dyDescent="0.25">
      <c r="A6" s="4" t="s">
        <v>26</v>
      </c>
      <c r="B6" s="2">
        <v>1100</v>
      </c>
    </row>
    <row r="7" spans="1:2" x14ac:dyDescent="0.25">
      <c r="A7" s="4" t="s">
        <v>37</v>
      </c>
      <c r="B7" s="2"/>
    </row>
    <row r="8" spans="1:2" x14ac:dyDescent="0.25">
      <c r="A8" s="4" t="s">
        <v>38</v>
      </c>
      <c r="B8" s="2">
        <v>14870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zoomScaleNormal="100" workbookViewId="0">
      <selection sqref="A1:I1048576"/>
    </sheetView>
  </sheetViews>
  <sheetFormatPr defaultRowHeight="15" x14ac:dyDescent="0.25"/>
  <cols>
    <col min="1" max="1" width="9.42578125" customWidth="1"/>
    <col min="2" max="2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35</v>
      </c>
      <c r="H1" t="s">
        <v>5</v>
      </c>
      <c r="I1" t="s">
        <v>31</v>
      </c>
      <c r="J1" t="s">
        <v>32</v>
      </c>
    </row>
    <row r="2" spans="1:11" x14ac:dyDescent="0.25">
      <c r="A2">
        <v>1001</v>
      </c>
      <c r="B2" s="1">
        <v>46037</v>
      </c>
      <c r="C2" t="s">
        <v>6</v>
      </c>
      <c r="D2" t="s">
        <v>7</v>
      </c>
      <c r="E2" t="s">
        <v>8</v>
      </c>
      <c r="F2">
        <v>1</v>
      </c>
      <c r="G2">
        <v>4500</v>
      </c>
      <c r="H2" t="s">
        <v>9</v>
      </c>
      <c r="I2">
        <f>F2*G2</f>
        <v>4500</v>
      </c>
      <c r="J2" t="str">
        <f>PROPER(E2)</f>
        <v>Eletrônicos</v>
      </c>
    </row>
    <row r="3" spans="1:11" x14ac:dyDescent="0.25">
      <c r="A3">
        <v>1002</v>
      </c>
      <c r="B3" s="1">
        <v>46038</v>
      </c>
      <c r="C3" t="s">
        <v>10</v>
      </c>
      <c r="D3" t="s">
        <v>11</v>
      </c>
      <c r="E3" t="s">
        <v>12</v>
      </c>
      <c r="F3">
        <v>2</v>
      </c>
      <c r="G3">
        <v>150</v>
      </c>
      <c r="H3" t="s">
        <v>13</v>
      </c>
      <c r="I3">
        <f t="shared" ref="I3:I11" si="0">F3*G3</f>
        <v>300</v>
      </c>
      <c r="J3" t="str">
        <f t="shared" ref="J3:J11" si="1">PROPER(E3)</f>
        <v>Acessórios</v>
      </c>
    </row>
    <row r="4" spans="1:11" x14ac:dyDescent="0.25">
      <c r="A4">
        <v>1003</v>
      </c>
      <c r="B4" s="1">
        <v>46039</v>
      </c>
      <c r="C4" t="s">
        <v>14</v>
      </c>
      <c r="D4" t="s">
        <v>15</v>
      </c>
      <c r="E4" t="s">
        <v>8</v>
      </c>
      <c r="F4">
        <v>1</v>
      </c>
      <c r="G4">
        <v>1200</v>
      </c>
      <c r="H4" t="s">
        <v>9</v>
      </c>
      <c r="I4">
        <f t="shared" si="0"/>
        <v>1200</v>
      </c>
      <c r="J4" t="str">
        <f t="shared" si="1"/>
        <v>Eletrônicos</v>
      </c>
    </row>
    <row r="5" spans="1:11" x14ac:dyDescent="0.25">
      <c r="A5">
        <v>1004</v>
      </c>
      <c r="B5" s="1">
        <v>46040</v>
      </c>
      <c r="C5" t="s">
        <v>16</v>
      </c>
      <c r="D5" t="s">
        <v>17</v>
      </c>
      <c r="E5" t="s">
        <v>12</v>
      </c>
      <c r="F5">
        <v>1</v>
      </c>
      <c r="G5">
        <v>350</v>
      </c>
      <c r="H5" t="s">
        <v>18</v>
      </c>
      <c r="I5">
        <f t="shared" si="0"/>
        <v>350</v>
      </c>
      <c r="J5" t="str">
        <f t="shared" si="1"/>
        <v>Acessórios</v>
      </c>
    </row>
    <row r="6" spans="1:11" x14ac:dyDescent="0.25">
      <c r="A6">
        <v>1005</v>
      </c>
      <c r="B6" s="1">
        <v>46041</v>
      </c>
      <c r="C6" t="s">
        <v>19</v>
      </c>
      <c r="D6" t="s">
        <v>20</v>
      </c>
      <c r="E6" t="s">
        <v>12</v>
      </c>
      <c r="F6">
        <v>3</v>
      </c>
      <c r="G6">
        <v>90</v>
      </c>
      <c r="H6" t="s">
        <v>21</v>
      </c>
      <c r="I6">
        <f t="shared" si="0"/>
        <v>270</v>
      </c>
      <c r="J6" t="str">
        <f t="shared" si="1"/>
        <v>Acessórios</v>
      </c>
    </row>
    <row r="7" spans="1:11" x14ac:dyDescent="0.25">
      <c r="A7">
        <v>1006</v>
      </c>
      <c r="B7" s="1">
        <v>46042</v>
      </c>
      <c r="C7" t="s">
        <v>22</v>
      </c>
      <c r="D7" t="s">
        <v>7</v>
      </c>
      <c r="E7" t="s">
        <v>8</v>
      </c>
      <c r="F7">
        <v>1</v>
      </c>
      <c r="G7">
        <v>4500</v>
      </c>
      <c r="H7" t="s">
        <v>23</v>
      </c>
      <c r="I7">
        <f t="shared" si="0"/>
        <v>4500</v>
      </c>
      <c r="J7" t="str">
        <f t="shared" si="1"/>
        <v>Eletrônicos</v>
      </c>
    </row>
    <row r="8" spans="1:11" x14ac:dyDescent="0.25">
      <c r="A8">
        <v>1007</v>
      </c>
      <c r="B8" s="1">
        <v>46043</v>
      </c>
      <c r="C8" t="s">
        <v>24</v>
      </c>
      <c r="D8" t="s">
        <v>25</v>
      </c>
      <c r="E8" t="s">
        <v>26</v>
      </c>
      <c r="F8">
        <v>1</v>
      </c>
      <c r="G8">
        <v>1100</v>
      </c>
      <c r="H8" t="s">
        <v>9</v>
      </c>
      <c r="I8">
        <f t="shared" si="0"/>
        <v>1100</v>
      </c>
      <c r="J8" t="str">
        <f t="shared" si="1"/>
        <v>Móveis</v>
      </c>
    </row>
    <row r="9" spans="1:11" x14ac:dyDescent="0.25">
      <c r="A9">
        <v>1008</v>
      </c>
      <c r="B9" s="1">
        <v>46044</v>
      </c>
      <c r="C9" t="s">
        <v>27</v>
      </c>
      <c r="D9" t="s">
        <v>17</v>
      </c>
      <c r="E9" t="s">
        <v>12</v>
      </c>
      <c r="F9">
        <v>2</v>
      </c>
      <c r="G9">
        <v>350</v>
      </c>
      <c r="H9" t="s">
        <v>13</v>
      </c>
      <c r="I9">
        <f t="shared" si="0"/>
        <v>700</v>
      </c>
      <c r="J9" t="str">
        <f t="shared" si="1"/>
        <v>Acessórios</v>
      </c>
    </row>
    <row r="10" spans="1:11" x14ac:dyDescent="0.25">
      <c r="A10">
        <v>1009</v>
      </c>
      <c r="B10" s="1">
        <v>46045</v>
      </c>
      <c r="C10" t="s">
        <v>28</v>
      </c>
      <c r="D10" t="s">
        <v>15</v>
      </c>
      <c r="E10" t="s">
        <v>29</v>
      </c>
      <c r="F10">
        <v>1</v>
      </c>
      <c r="G10">
        <v>1200</v>
      </c>
      <c r="H10" t="s">
        <v>18</v>
      </c>
      <c r="I10">
        <f t="shared" si="0"/>
        <v>1200</v>
      </c>
      <c r="J10" t="str">
        <f t="shared" si="1"/>
        <v>Eletrônicos</v>
      </c>
    </row>
    <row r="11" spans="1:11" x14ac:dyDescent="0.25">
      <c r="A11">
        <v>1010</v>
      </c>
      <c r="B11" s="1">
        <v>46046</v>
      </c>
      <c r="C11" t="s">
        <v>30</v>
      </c>
      <c r="D11" t="s">
        <v>11</v>
      </c>
      <c r="E11" t="s">
        <v>12</v>
      </c>
      <c r="F11">
        <v>5</v>
      </c>
      <c r="G11">
        <v>150</v>
      </c>
      <c r="H11" t="s">
        <v>9</v>
      </c>
      <c r="I11">
        <f t="shared" si="0"/>
        <v>750</v>
      </c>
      <c r="J11" t="str">
        <f t="shared" si="1"/>
        <v>Acessórios</v>
      </c>
      <c r="K11">
        <f>SUM(I:I)</f>
        <v>14870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2015-06-05T18:17:20Z</dcterms:created>
  <dcterms:modified xsi:type="dcterms:W3CDTF">2026-07-08T21:46:15Z</dcterms:modified>
</cp:coreProperties>
</file>